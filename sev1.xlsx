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<sst xmlns="http://schemas.openxmlformats.org/spreadsheetml/2006/main" count="8" uniqueCount="8">
  <si>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AB/2</t>
  </si>
  <si>
    <t xml:space="preserve">MN/2</t>
  </si>
  <si>
    <t xml:space="preserve">K</t>
  </si>
  <si>
    <t xml:space="preserve">PN</t>
  </si>
  <si>
    <t xml:space="preserve">PI</t>
  </si>
  <si>
    <t xml:space="preserve">I (Ma)</t>
  </si>
  <si>
    <t xml:space="preserve">∆V (Mv)</t>
  </si>
  <si>
    <t xml:space="preserve">pa (Ω*m)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</si>
</sst>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595959"/>
      <name val="Calibri Light"/>
      <family val="2"/>
    </font>
    <font>
      <sz val="9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4"/>
        <bgColor rgb="FF2F5597"/>
      </patternFill>
    </fill>
    <fill>
      <patternFill patternType="solid">
        <fgColor rgb="FF996633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4" tint="0.3999"/>
        <bgColor rgb="FF969696"/>
      </patternFill>
    </fill>
    <fill>
      <patternFill patternType="solid">
        <fgColor theme="5" tint="0.5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C0C0C0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2000" spc="-1" strike="noStrike">
                <a:solidFill>
                  <a:srgbClr val="595959"/>
                </a:solidFill>
                <a:latin typeface="Calibri Light"/>
              </a:defRPr>
            </a:pPr>
            <a:r>
              <a:rPr b="0" sz="2000" spc="-1" strike="noStrike">
                <a:solidFill>
                  <a:srgbClr val="595959"/>
                </a:solidFill>
                <a:latin typeface="Calibri Light"/>
              </a:rPr>
              <a:t>SONDEO ELECTRICO VERTICAL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"SONDEO ELECTRICO VERTICAL"</c:f>
              <c:strCache>
                <c:ptCount val="1"/>
                <c:pt idx="0">
                  <c:v>SONDEO ELECTRICO VERTICAL</c:v>
                </c:pt>
              </c:strCache>
            </c:strRef>
          </c:tx>
          <c:spPr>
            <a:solidFill>
              <a:srgbClr val="2f5597"/>
            </a:solidFill>
            <a:ln w="25560">
              <a:noFill/>
            </a:ln>
          </c:spPr>
          <c:marker>
            <c:symbol val="circle"/>
            <c:size val="6"/>
            <c:spPr>
              <a:solidFill>
                <a:srgbClr val="2f559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xVal>
            <c:numRef>
              <c:f>Hoja1!$A$2:$A$36</c:f>
              <c:numCache>
                <c:formatCode>General</c:formatCode>
                <c:ptCount val="3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20</c:v>
                </c:pt>
                <c:pt idx="7">
                  <c:v>25</c:v>
                </c:pt>
                <c:pt idx="8">
                  <c:v>32</c:v>
                </c:pt>
                <c:pt idx="9">
                  <c:v>40</c:v>
                </c:pt>
                <c:pt idx="10">
                  <c:v>50</c:v>
                </c:pt>
                <c:pt idx="11">
                  <c:v>50</c:v>
                </c:pt>
                <c:pt idx="12">
                  <c:v>57.5</c:v>
                </c:pt>
                <c:pt idx="13">
                  <c:v>65</c:v>
                </c:pt>
                <c:pt idx="14">
                  <c:v>80</c:v>
                </c:pt>
                <c:pt idx="15">
                  <c:v>100</c:v>
                </c:pt>
                <c:pt idx="16">
                  <c:v>115</c:v>
                </c:pt>
                <c:pt idx="17">
                  <c:v>130</c:v>
                </c:pt>
                <c:pt idx="18">
                  <c:v>145</c:v>
                </c:pt>
                <c:pt idx="19">
                  <c:v>160</c:v>
                </c:pt>
                <c:pt idx="20">
                  <c:v>180</c:v>
                </c:pt>
                <c:pt idx="21">
                  <c:v>200</c:v>
                </c:pt>
                <c:pt idx="22">
                  <c:v>200</c:v>
                </c:pt>
                <c:pt idx="23">
                  <c:v>225</c:v>
                </c:pt>
                <c:pt idx="24">
                  <c:v>250</c:v>
                </c:pt>
                <c:pt idx="25">
                  <c:v>280</c:v>
                </c:pt>
                <c:pt idx="26">
                  <c:v>320</c:v>
                </c:pt>
                <c:pt idx="27">
                  <c:v>360</c:v>
                </c:pt>
                <c:pt idx="28">
                  <c:v>400</c:v>
                </c:pt>
                <c:pt idx="29">
                  <c:v>450</c:v>
                </c:pt>
                <c:pt idx="30">
                  <c:v>500</c:v>
                </c:pt>
                <c:pt idx="31">
                  <c:v>575</c:v>
                </c:pt>
                <c:pt idx="32">
                  <c:v>650</c:v>
                </c:pt>
                <c:pt idx="33">
                  <c:v>800</c:v>
                </c:pt>
                <c:pt idx="34">
                  <c:v>1000</c:v>
                </c:pt>
              </c:numCache>
            </c:numRef>
          </c:xVal>
          <c:yVal>
            <c:numRef>
              <c:f>Hoja1!$H$2:$H$36</c:f>
              <c:numCache>
                <c:formatCode>General</c:formatCode>
                <c:ptCount val="35"/>
                <c:pt idx="0">
                  <c:v>26.2994707142857</c:v>
                </c:pt>
                <c:pt idx="1">
                  <c:v>10.2387056818182</c:v>
                </c:pt>
                <c:pt idx="2">
                  <c:v>9.71797733333333</c:v>
                </c:pt>
                <c:pt idx="3">
                  <c:v>13.2014579856115</c:v>
                </c:pt>
                <c:pt idx="4">
                  <c:v>15.210528125</c:v>
                </c:pt>
                <c:pt idx="5">
                  <c:v>17.3733701204819</c:v>
                </c:pt>
                <c:pt idx="6">
                  <c:v>19.7920168421053</c:v>
                </c:pt>
                <c:pt idx="7">
                  <c:v>16.0839691119691</c:v>
                </c:pt>
                <c:pt idx="8">
                  <c:v>17.624318967742</c:v>
                </c:pt>
                <c:pt idx="9">
                  <c:v>20.2364551658768</c:v>
                </c:pt>
                <c:pt idx="10">
                  <c:v>19.4878843262412</c:v>
                </c:pt>
                <c:pt idx="11">
                  <c:v>22.2397450359713</c:v>
                </c:pt>
                <c:pt idx="12">
                  <c:v>20.5931368888889</c:v>
                </c:pt>
                <c:pt idx="13">
                  <c:v>21.1743374053296</c:v>
                </c:pt>
                <c:pt idx="14">
                  <c:v>22.2730664387465</c:v>
                </c:pt>
                <c:pt idx="15">
                  <c:v>19.5983579726028</c:v>
                </c:pt>
                <c:pt idx="16">
                  <c:v>22.9074466666666</c:v>
                </c:pt>
                <c:pt idx="17">
                  <c:v>22.7494448275862</c:v>
                </c:pt>
                <c:pt idx="18">
                  <c:v>21.3126957492795</c:v>
                </c:pt>
                <c:pt idx="19">
                  <c:v>17.9585044639377</c:v>
                </c:pt>
                <c:pt idx="20">
                  <c:v>17.0213515612905</c:v>
                </c:pt>
                <c:pt idx="21">
                  <c:v>17.0748438621794</c:v>
                </c:pt>
                <c:pt idx="22">
                  <c:v>21.1686359621451</c:v>
                </c:pt>
                <c:pt idx="23">
                  <c:v>16.6504415135135</c:v>
                </c:pt>
                <c:pt idx="24">
                  <c:v>16.6079375</c:v>
                </c:pt>
                <c:pt idx="25">
                  <c:v>17.9164099009899</c:v>
                </c:pt>
                <c:pt idx="26">
                  <c:v>14.1794005970148</c:v>
                </c:pt>
                <c:pt idx="27">
                  <c:v>13.3330190981432</c:v>
                </c:pt>
                <c:pt idx="28">
                  <c:v>11.9622461538466</c:v>
                </c:pt>
              </c:numCache>
            </c:numRef>
          </c:yVal>
          <c:smooth val="0"/>
        </c:ser>
        <c:axId val="74237632"/>
        <c:axId val="66879210"/>
      </c:scatterChart>
      <c:valAx>
        <c:axId val="74237632"/>
        <c:scaling>
          <c:logBase val="10"/>
          <c:orientation val="minMax"/>
          <c:max val="10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879210"/>
        <c:crosses val="autoZero"/>
        <c:crossBetween val="midCat"/>
      </c:valAx>
      <c:valAx>
        <c:axId val="66879210"/>
        <c:scaling>
          <c:logBase val="10"/>
          <c:orientation val="minMax"/>
          <c:max val="1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2376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168480</xdr:colOff>
      <xdr:row>2</xdr:row>
      <xdr:rowOff>50040</xdr:rowOff>
    </xdr:from>
    <xdr:to>
      <xdr:col>20</xdr:col>
      <xdr:colOff>206280</xdr:colOff>
      <xdr:row>29</xdr:row>
      <xdr:rowOff>147960</xdr:rowOff>
    </xdr:to>
    <xdr:graphicFrame>
      <xdr:nvGraphicFramePr>
        <xdr:cNvPr id="0" name="Gráfico 3"/>
        <xdr:cNvGraphicFramePr/>
      </xdr:nvGraphicFramePr>
      <xdr:xfrm>
        <a:off x="8883720" y="411840"/>
        <a:ext cx="6724440" cy="498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" activeCellId="0" sqref="I:I"/>
    </sheetView>
  </sheetViews>
  <sheetFormatPr defaultColWidth="10.54296875" defaultRowHeight="14.25" zeroHeight="false" outlineLevelRow="0" outlineLevelCol="0"/>
  <cols>
    <col collapsed="false" customWidth="true" hidden="false" outlineLevel="0" max="8" min="8" style="0" width="18.2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n">
        <v>3</v>
      </c>
      <c r="B2" s="2" t="n">
        <v>1</v>
      </c>
      <c r="C2" s="3" t="n">
        <v>12.5663</v>
      </c>
      <c r="D2" s="3" t="n">
        <v>75.1</v>
      </c>
      <c r="E2" s="4" t="n">
        <v>163</v>
      </c>
      <c r="F2" s="2" t="n">
        <v>42</v>
      </c>
      <c r="G2" s="2" t="n">
        <f aca="false">E2-D2</f>
        <v>87.9</v>
      </c>
      <c r="H2" s="2" t="n">
        <f aca="false">C2*(G2/F2)</f>
        <v>26.2994707142857</v>
      </c>
    </row>
    <row r="3" customFormat="false" ht="14.25" hidden="false" customHeight="false" outlineLevel="0" collapsed="false">
      <c r="A3" s="2" t="n">
        <v>5</v>
      </c>
      <c r="B3" s="2" t="n">
        <v>1</v>
      </c>
      <c r="C3" s="3" t="n">
        <v>37.699</v>
      </c>
      <c r="D3" s="3" t="n">
        <v>73.3</v>
      </c>
      <c r="E3" s="4" t="n">
        <v>97.2</v>
      </c>
      <c r="F3" s="2" t="n">
        <v>88</v>
      </c>
      <c r="G3" s="2" t="n">
        <f aca="false">E3-D3</f>
        <v>23.9</v>
      </c>
      <c r="H3" s="2" t="n">
        <f aca="false">C3*(G3/F3)</f>
        <v>10.2387056818182</v>
      </c>
      <c r="I3" s="5"/>
    </row>
    <row r="4" customFormat="false" ht="14.25" hidden="false" customHeight="false" outlineLevel="0" collapsed="false">
      <c r="A4" s="2" t="n">
        <v>7</v>
      </c>
      <c r="B4" s="2" t="n">
        <v>1</v>
      </c>
      <c r="C4" s="3" t="n">
        <v>75.3981</v>
      </c>
      <c r="D4" s="3" t="n">
        <v>72.7</v>
      </c>
      <c r="E4" s="4" t="n">
        <v>84.3</v>
      </c>
      <c r="F4" s="2" t="n">
        <v>90</v>
      </c>
      <c r="G4" s="2" t="n">
        <f aca="false">E4-D4</f>
        <v>11.6</v>
      </c>
      <c r="H4" s="2" t="n">
        <f aca="false">C4*(G4/F4)</f>
        <v>9.71797733333333</v>
      </c>
    </row>
    <row r="5" customFormat="false" ht="14.25" hidden="false" customHeight="false" outlineLevel="0" collapsed="false">
      <c r="A5" s="2" t="n">
        <v>10</v>
      </c>
      <c r="B5" s="2" t="n">
        <v>1</v>
      </c>
      <c r="C5" s="3" t="n">
        <v>155.5087</v>
      </c>
      <c r="D5" s="3" t="n">
        <v>71.4</v>
      </c>
      <c r="E5" s="4" t="n">
        <v>95</v>
      </c>
      <c r="F5" s="2" t="n">
        <v>278</v>
      </c>
      <c r="G5" s="2" t="n">
        <f aca="false">E5-D5</f>
        <v>23.6</v>
      </c>
      <c r="H5" s="2" t="n">
        <f aca="false">C5*(G5/F5)</f>
        <v>13.2014579856115</v>
      </c>
    </row>
    <row r="6" customFormat="false" ht="14.25" hidden="false" customHeight="false" outlineLevel="0" collapsed="false">
      <c r="A6" s="2" t="n">
        <v>13</v>
      </c>
      <c r="B6" s="2" t="n">
        <v>1</v>
      </c>
      <c r="C6" s="3" t="n">
        <v>263.8935</v>
      </c>
      <c r="D6" s="3" t="n">
        <v>70.4</v>
      </c>
      <c r="E6" s="4" t="n">
        <v>87</v>
      </c>
      <c r="F6" s="2" t="n">
        <v>288</v>
      </c>
      <c r="G6" s="2" t="n">
        <f aca="false">E6-D6</f>
        <v>16.6</v>
      </c>
      <c r="H6" s="2" t="n">
        <f aca="false">C6*(G6/F6)</f>
        <v>15.210528125</v>
      </c>
    </row>
    <row r="7" customFormat="false" ht="14.25" hidden="false" customHeight="false" outlineLevel="0" collapsed="false">
      <c r="A7" s="2" t="n">
        <v>16</v>
      </c>
      <c r="B7" s="2" t="n">
        <v>1</v>
      </c>
      <c r="C7" s="3" t="n">
        <v>400.5527</v>
      </c>
      <c r="D7" s="3" t="n">
        <v>70</v>
      </c>
      <c r="E7" s="4" t="n">
        <v>88</v>
      </c>
      <c r="F7" s="2" t="n">
        <v>415</v>
      </c>
      <c r="G7" s="2" t="n">
        <f aca="false">E7-D7</f>
        <v>18</v>
      </c>
      <c r="H7" s="2" t="n">
        <f aca="false">C7*(G7/F7)</f>
        <v>17.3733701204819</v>
      </c>
    </row>
    <row r="8" customFormat="false" ht="14.25" hidden="false" customHeight="false" outlineLevel="0" collapsed="false">
      <c r="A8" s="2" t="n">
        <v>20</v>
      </c>
      <c r="B8" s="2" t="n">
        <v>1</v>
      </c>
      <c r="C8" s="3" t="n">
        <v>626.7472</v>
      </c>
      <c r="D8" s="3" t="n">
        <v>69.8</v>
      </c>
      <c r="E8" s="4" t="n">
        <v>80.6</v>
      </c>
      <c r="F8" s="2" t="n">
        <v>342</v>
      </c>
      <c r="G8" s="2" t="n">
        <f aca="false">E8-D8</f>
        <v>10.8</v>
      </c>
      <c r="H8" s="2" t="n">
        <f aca="false">C8*(G8/F8)</f>
        <v>19.7920168421053</v>
      </c>
    </row>
    <row r="9" customFormat="false" ht="14.25" hidden="false" customHeight="false" outlineLevel="0" collapsed="false">
      <c r="A9" s="2" t="n">
        <v>25</v>
      </c>
      <c r="B9" s="2" t="n">
        <v>1</v>
      </c>
      <c r="C9" s="3" t="n">
        <v>980.176</v>
      </c>
      <c r="D9" s="3" t="n">
        <v>69.3</v>
      </c>
      <c r="E9" s="4" t="n">
        <v>77.8</v>
      </c>
      <c r="F9" s="2" t="n">
        <v>518</v>
      </c>
      <c r="G9" s="2" t="n">
        <f aca="false">E9-D9</f>
        <v>8.5</v>
      </c>
      <c r="H9" s="2" t="n">
        <f aca="false">C9*(G9/F9)</f>
        <v>16.0839691119691</v>
      </c>
    </row>
    <row r="10" customFormat="false" ht="14.25" hidden="false" customHeight="false" outlineLevel="0" collapsed="false">
      <c r="A10" s="2" t="n">
        <v>32</v>
      </c>
      <c r="B10" s="2" t="n">
        <v>1</v>
      </c>
      <c r="C10" s="3" t="n">
        <v>1606.9232</v>
      </c>
      <c r="D10" s="3" t="n">
        <v>69</v>
      </c>
      <c r="E10" s="4" t="n">
        <v>70.7</v>
      </c>
      <c r="F10" s="2" t="n">
        <v>155</v>
      </c>
      <c r="G10" s="2" t="n">
        <f aca="false">E10-D10</f>
        <v>1.7</v>
      </c>
      <c r="H10" s="2" t="n">
        <f aca="false">C10*(G10/F10)</f>
        <v>17.624318967742</v>
      </c>
    </row>
    <row r="11" customFormat="false" ht="14.25" hidden="false" customHeight="false" outlineLevel="0" collapsed="false">
      <c r="A11" s="2" t="n">
        <v>40</v>
      </c>
      <c r="B11" s="2" t="n">
        <v>1</v>
      </c>
      <c r="C11" s="3" t="n">
        <v>2511.7012</v>
      </c>
      <c r="D11" s="3" t="n">
        <v>68.7</v>
      </c>
      <c r="E11" s="4" t="n">
        <v>70.4</v>
      </c>
      <c r="F11" s="2" t="n">
        <v>211</v>
      </c>
      <c r="G11" s="2" t="n">
        <f aca="false">E11-D11</f>
        <v>1.7</v>
      </c>
      <c r="H11" s="2" t="n">
        <f aca="false">C11*(G11/F11)</f>
        <v>20.2364551658768</v>
      </c>
    </row>
    <row r="12" customFormat="false" ht="14.25" hidden="false" customHeight="false" outlineLevel="0" collapsed="false">
      <c r="A12" s="6" t="n">
        <v>50</v>
      </c>
      <c r="B12" s="6" t="n">
        <v>1</v>
      </c>
      <c r="C12" s="6" t="n">
        <v>3925.4167</v>
      </c>
      <c r="D12" s="6" t="n">
        <v>68.5</v>
      </c>
      <c r="E12" s="6" t="n">
        <v>69.2</v>
      </c>
      <c r="F12" s="6" t="n">
        <v>141</v>
      </c>
      <c r="G12" s="6" t="n">
        <f aca="false">E12-D12</f>
        <v>0.700000000000003</v>
      </c>
      <c r="H12" s="6" t="n">
        <f aca="false">C12*(G12/F12)</f>
        <v>19.4878843262412</v>
      </c>
    </row>
    <row r="13" customFormat="false" ht="14.25" hidden="false" customHeight="false" outlineLevel="0" collapsed="false">
      <c r="A13" s="6" t="n">
        <v>50</v>
      </c>
      <c r="B13" s="6" t="n">
        <v>10</v>
      </c>
      <c r="C13" s="6" t="n">
        <v>376.9908</v>
      </c>
      <c r="D13" s="6" t="n">
        <v>150.1</v>
      </c>
      <c r="E13" s="6" t="n">
        <v>158.3</v>
      </c>
      <c r="F13" s="6" t="n">
        <v>139</v>
      </c>
      <c r="G13" s="6" t="n">
        <f aca="false">E13-D13</f>
        <v>8.20000000000002</v>
      </c>
      <c r="H13" s="6" t="n">
        <f aca="false">C13*(G13/F13)</f>
        <v>22.2397450359713</v>
      </c>
    </row>
    <row r="14" customFormat="false" ht="14.25" hidden="false" customHeight="false" outlineLevel="0" collapsed="false">
      <c r="A14" s="2" t="n">
        <v>57.5</v>
      </c>
      <c r="B14" s="7" t="n">
        <v>10</v>
      </c>
      <c r="C14" s="8" t="n">
        <v>503.6365</v>
      </c>
      <c r="D14" s="8" t="n">
        <v>150.5</v>
      </c>
      <c r="E14" s="4" t="n">
        <v>159.7</v>
      </c>
      <c r="F14" s="2" t="n">
        <v>225</v>
      </c>
      <c r="G14" s="2" t="n">
        <f aca="false">E14-D14</f>
        <v>9.19999999999999</v>
      </c>
      <c r="H14" s="2" t="n">
        <f aca="false">C14*(G14/F14)</f>
        <v>20.5931368888889</v>
      </c>
    </row>
    <row r="15" customFormat="false" ht="14.25" hidden="false" customHeight="false" outlineLevel="0" collapsed="false">
      <c r="A15" s="2" t="n">
        <v>65</v>
      </c>
      <c r="B15" s="7" t="n">
        <v>10</v>
      </c>
      <c r="C15" s="8" t="n">
        <v>647.9529</v>
      </c>
      <c r="D15" s="8" t="n">
        <v>150.9</v>
      </c>
      <c r="E15" s="4" t="n">
        <v>174.2</v>
      </c>
      <c r="F15" s="2" t="n">
        <v>713</v>
      </c>
      <c r="G15" s="2" t="n">
        <f aca="false">E15-D15</f>
        <v>23.3</v>
      </c>
      <c r="H15" s="2" t="n">
        <f aca="false">C15*(G15/F15)</f>
        <v>21.1743374053296</v>
      </c>
    </row>
    <row r="16" customFormat="false" ht="14.25" hidden="false" customHeight="false" outlineLevel="0" collapsed="false">
      <c r="A16" s="2" t="n">
        <v>80</v>
      </c>
      <c r="B16" s="7" t="n">
        <v>10</v>
      </c>
      <c r="C16" s="8" t="n">
        <v>989.6008</v>
      </c>
      <c r="D16" s="8" t="n">
        <v>151.5</v>
      </c>
      <c r="E16" s="4" t="n">
        <v>159.4</v>
      </c>
      <c r="F16" s="2" t="n">
        <v>351</v>
      </c>
      <c r="G16" s="2" t="n">
        <f aca="false">E16-D16</f>
        <v>7.90000000000001</v>
      </c>
      <c r="H16" s="2" t="n">
        <f aca="false">C16*(G16/F16)</f>
        <v>22.2730664387465</v>
      </c>
      <c r="I16" s="5"/>
    </row>
    <row r="17" customFormat="false" ht="14.25" hidden="false" customHeight="false" outlineLevel="0" collapsed="false">
      <c r="A17" s="2" t="n">
        <v>100</v>
      </c>
      <c r="B17" s="7" t="n">
        <v>10</v>
      </c>
      <c r="C17" s="8" t="n">
        <v>1555.0871</v>
      </c>
      <c r="D17" s="8" t="n">
        <v>152.2</v>
      </c>
      <c r="E17" s="4" t="n">
        <v>156.8</v>
      </c>
      <c r="F17" s="2" t="n">
        <v>365</v>
      </c>
      <c r="G17" s="2" t="n">
        <f aca="false">E17-D17</f>
        <v>4.60000000000002</v>
      </c>
      <c r="H17" s="2" t="n">
        <f aca="false">C17*(G17/F17)</f>
        <v>19.5983579726028</v>
      </c>
    </row>
    <row r="18" customFormat="false" ht="14.25" hidden="false" customHeight="false" outlineLevel="0" collapsed="false">
      <c r="A18" s="2" t="n">
        <v>115</v>
      </c>
      <c r="B18" s="7" t="n">
        <v>10</v>
      </c>
      <c r="C18" s="8" t="n">
        <v>2061.6702</v>
      </c>
      <c r="D18" s="8" t="n">
        <v>153.4</v>
      </c>
      <c r="E18" s="4" t="n">
        <v>158</v>
      </c>
      <c r="F18" s="2" t="n">
        <v>414</v>
      </c>
      <c r="G18" s="2" t="n">
        <f aca="false">E18-D18</f>
        <v>4.59999999999999</v>
      </c>
      <c r="H18" s="2" t="n">
        <f aca="false">C18*(G18/F18)</f>
        <v>22.9074466666666</v>
      </c>
      <c r="I18" s="5"/>
    </row>
    <row r="19" customFormat="false" ht="14.25" hidden="false" customHeight="false" outlineLevel="0" collapsed="false">
      <c r="A19" s="2" t="n">
        <v>130</v>
      </c>
      <c r="B19" s="7" t="n">
        <v>10</v>
      </c>
      <c r="C19" s="8" t="n">
        <v>2638.9356</v>
      </c>
      <c r="D19" s="8" t="n">
        <v>154</v>
      </c>
      <c r="E19" s="4" t="n">
        <v>156.5</v>
      </c>
      <c r="F19" s="2" t="n">
        <v>290</v>
      </c>
      <c r="G19" s="2" t="n">
        <f aca="false">E19-D19</f>
        <v>2.5</v>
      </c>
      <c r="H19" s="2" t="n">
        <f aca="false">C19*(G19/F19)</f>
        <v>22.7494448275862</v>
      </c>
    </row>
    <row r="20" customFormat="false" ht="14.25" hidden="false" customHeight="false" outlineLevel="0" collapsed="false">
      <c r="A20" s="2" t="n">
        <v>145</v>
      </c>
      <c r="B20" s="7" t="n">
        <v>10</v>
      </c>
      <c r="C20" s="8" t="n">
        <v>3286.8913</v>
      </c>
      <c r="D20" s="8" t="n">
        <v>157.5</v>
      </c>
      <c r="E20" s="4" t="n">
        <v>162</v>
      </c>
      <c r="F20" s="2" t="n">
        <v>694</v>
      </c>
      <c r="G20" s="2" t="n">
        <f aca="false">E20-D20</f>
        <v>4.5</v>
      </c>
      <c r="H20" s="2" t="n">
        <f aca="false">C20*(G20/F20)</f>
        <v>21.3126957492795</v>
      </c>
    </row>
    <row r="21" customFormat="false" ht="14.25" hidden="false" customHeight="false" outlineLevel="0" collapsed="false">
      <c r="A21" s="2" t="n">
        <v>160</v>
      </c>
      <c r="B21" s="7" t="n">
        <v>10</v>
      </c>
      <c r="C21" s="8" t="n">
        <v>4005.5273</v>
      </c>
      <c r="D21" s="8" t="n">
        <v>157.7</v>
      </c>
      <c r="E21" s="4" t="n">
        <v>160</v>
      </c>
      <c r="F21" s="2" t="n">
        <v>513</v>
      </c>
      <c r="G21" s="2" t="n">
        <f aca="false">E21-D21</f>
        <v>2.30000000000001</v>
      </c>
      <c r="H21" s="2" t="n">
        <f aca="false">C21*(G21/F21)</f>
        <v>17.9585044639377</v>
      </c>
    </row>
    <row r="22" customFormat="false" ht="14.25" hidden="false" customHeight="false" outlineLevel="0" collapsed="false">
      <c r="A22" s="2" t="n">
        <v>180</v>
      </c>
      <c r="B22" s="7" t="n">
        <v>10</v>
      </c>
      <c r="C22" s="8" t="n">
        <v>5073.6721</v>
      </c>
      <c r="D22" s="8" t="n">
        <v>157.7</v>
      </c>
      <c r="E22" s="4" t="n">
        <v>160.3</v>
      </c>
      <c r="F22" s="2" t="n">
        <v>775</v>
      </c>
      <c r="G22" s="2" t="n">
        <f aca="false">E22-D22</f>
        <v>2.60000000000002</v>
      </c>
      <c r="H22" s="2" t="n">
        <f aca="false">C22*(G22/F22)</f>
        <v>17.0213515612905</v>
      </c>
    </row>
    <row r="23" customFormat="false" ht="14.25" hidden="false" customHeight="false" outlineLevel="0" collapsed="false">
      <c r="A23" s="6" t="n">
        <v>200</v>
      </c>
      <c r="B23" s="6" t="n">
        <v>10</v>
      </c>
      <c r="C23" s="6" t="n">
        <v>6267.4721</v>
      </c>
      <c r="D23" s="6" t="n">
        <v>158</v>
      </c>
      <c r="E23" s="6" t="n">
        <v>159.7</v>
      </c>
      <c r="F23" s="6" t="n">
        <v>624</v>
      </c>
      <c r="G23" s="6" t="n">
        <f aca="false">E23-D23</f>
        <v>1.69999999999999</v>
      </c>
      <c r="H23" s="6" t="n">
        <f aca="false">C23*(G23/F23)</f>
        <v>17.0748438621794</v>
      </c>
    </row>
    <row r="24" customFormat="false" ht="14.25" hidden="false" customHeight="false" outlineLevel="0" collapsed="false">
      <c r="A24" s="6" t="n">
        <v>200</v>
      </c>
      <c r="B24" s="6" t="n">
        <v>40</v>
      </c>
      <c r="C24" s="6" t="n">
        <v>1507.968</v>
      </c>
      <c r="D24" s="6" t="n">
        <v>216.1</v>
      </c>
      <c r="E24" s="6" t="n">
        <v>225</v>
      </c>
      <c r="F24" s="6" t="n">
        <v>634</v>
      </c>
      <c r="G24" s="6" t="n">
        <f aca="false">E24-D24</f>
        <v>8.90000000000001</v>
      </c>
      <c r="H24" s="6" t="n">
        <f aca="false">C24*(G24/F24)</f>
        <v>21.1686359621451</v>
      </c>
    </row>
    <row r="25" customFormat="false" ht="14.25" hidden="false" customHeight="false" outlineLevel="0" collapsed="false">
      <c r="A25" s="2" t="n">
        <v>225</v>
      </c>
      <c r="B25" s="7" t="n">
        <v>40</v>
      </c>
      <c r="C25" s="9" t="n">
        <v>1925.2073</v>
      </c>
      <c r="D25" s="9" t="n">
        <v>215.6</v>
      </c>
      <c r="E25" s="4" t="n">
        <v>217.2</v>
      </c>
      <c r="F25" s="2" t="n">
        <v>185</v>
      </c>
      <c r="G25" s="2" t="n">
        <f aca="false">E25-D25</f>
        <v>1.59999999999999</v>
      </c>
      <c r="H25" s="2" t="n">
        <f aca="false">C25*(G25/F25)</f>
        <v>16.6504415135135</v>
      </c>
      <c r="I25" s="5"/>
    </row>
    <row r="26" customFormat="false" ht="14.25" hidden="false" customHeight="false" outlineLevel="0" collapsed="false">
      <c r="A26" s="2" t="n">
        <v>250</v>
      </c>
      <c r="B26" s="7" t="n">
        <v>40</v>
      </c>
      <c r="C26" s="9" t="n">
        <v>2391.543</v>
      </c>
      <c r="D26" s="9" t="n">
        <v>215</v>
      </c>
      <c r="E26" s="4" t="n">
        <v>217</v>
      </c>
      <c r="F26" s="2" t="n">
        <v>288</v>
      </c>
      <c r="G26" s="2" t="n">
        <f aca="false">E26-D26</f>
        <v>2</v>
      </c>
      <c r="H26" s="2" t="n">
        <f aca="false">C26*(G26/F26)</f>
        <v>16.6079375</v>
      </c>
    </row>
    <row r="27" customFormat="false" ht="14.25" hidden="false" customHeight="false" outlineLevel="0" collapsed="false">
      <c r="A27" s="2" t="n">
        <v>280</v>
      </c>
      <c r="B27" s="7" t="n">
        <v>40</v>
      </c>
      <c r="C27" s="9" t="n">
        <v>3015.929</v>
      </c>
      <c r="D27" s="9" t="n">
        <v>213.8</v>
      </c>
      <c r="E27" s="4" t="n">
        <v>214.4</v>
      </c>
      <c r="F27" s="2" t="n">
        <v>101</v>
      </c>
      <c r="G27" s="2" t="n">
        <f aca="false">E27-D27</f>
        <v>0.599999999999994</v>
      </c>
      <c r="H27" s="2" t="n">
        <f aca="false">C27*(G27/F27)</f>
        <v>17.9164099009899</v>
      </c>
      <c r="I27" s="5"/>
    </row>
    <row r="28" customFormat="false" ht="14.25" hidden="false" customHeight="false" outlineLevel="0" collapsed="false">
      <c r="A28" s="2" t="n">
        <v>320</v>
      </c>
      <c r="B28" s="7" t="n">
        <v>40</v>
      </c>
      <c r="C28" s="9" t="n">
        <v>3958.416</v>
      </c>
      <c r="D28" s="9" t="n">
        <v>214.8</v>
      </c>
      <c r="E28" s="4" t="n">
        <v>216</v>
      </c>
      <c r="F28" s="2" t="n">
        <v>335</v>
      </c>
      <c r="G28" s="2" t="n">
        <f aca="false">E28-D28</f>
        <v>1.19999999999999</v>
      </c>
      <c r="H28" s="2" t="n">
        <f aca="false">C28*(G28/F28)</f>
        <v>14.1794005970148</v>
      </c>
    </row>
    <row r="29" customFormat="false" ht="14.25" hidden="false" customHeight="false" outlineLevel="0" collapsed="false">
      <c r="A29" s="2" t="n">
        <v>360</v>
      </c>
      <c r="B29" s="7" t="n">
        <v>40</v>
      </c>
      <c r="C29" s="9" t="n">
        <v>5026.5482</v>
      </c>
      <c r="D29" s="9" t="n">
        <v>214.4</v>
      </c>
      <c r="E29" s="4" t="n">
        <v>215.4</v>
      </c>
      <c r="F29" s="2" t="n">
        <v>377</v>
      </c>
      <c r="G29" s="2" t="n">
        <f aca="false">E29-D29</f>
        <v>1</v>
      </c>
      <c r="H29" s="2" t="n">
        <f aca="false">C29*(G29/F29)</f>
        <v>13.3330190981432</v>
      </c>
    </row>
    <row r="30" customFormat="false" ht="14.25" hidden="false" customHeight="false" outlineLevel="0" collapsed="false">
      <c r="A30" s="2" t="n">
        <v>400</v>
      </c>
      <c r="B30" s="7" t="n">
        <v>40</v>
      </c>
      <c r="C30" s="9" t="n">
        <v>6220.368</v>
      </c>
      <c r="D30" s="9" t="n">
        <v>213.2</v>
      </c>
      <c r="E30" s="4" t="n">
        <v>213.8</v>
      </c>
      <c r="F30" s="2" t="n">
        <v>312</v>
      </c>
      <c r="G30" s="2" t="n">
        <f aca="false">E30-D30</f>
        <v>0.600000000000023</v>
      </c>
      <c r="H30" s="2" t="n">
        <f aca="false">C30*(G30/F30)</f>
        <v>11.9622461538466</v>
      </c>
    </row>
    <row r="31" customFormat="false" ht="14.25" hidden="false" customHeight="false" outlineLevel="0" collapsed="false">
      <c r="A31" s="2" t="n">
        <v>450</v>
      </c>
      <c r="B31" s="7" t="n">
        <v>40</v>
      </c>
      <c r="C31" s="9" t="n">
        <v>7889.3245</v>
      </c>
      <c r="D31" s="9"/>
      <c r="E31" s="4"/>
      <c r="F31" s="2"/>
      <c r="G31" s="2" t="n">
        <f aca="false">E31-D31</f>
        <v>0</v>
      </c>
      <c r="H31" s="2" t="e">
        <f aca="false">C31*(G31/F31)</f>
        <v>#DIV/0!</v>
      </c>
    </row>
    <row r="32" customFormat="false" ht="14.25" hidden="false" customHeight="false" outlineLevel="0" collapsed="false">
      <c r="A32" s="2" t="n">
        <v>500</v>
      </c>
      <c r="B32" s="7" t="n">
        <v>40</v>
      </c>
      <c r="C32" s="9" t="n">
        <v>9754.668</v>
      </c>
      <c r="D32" s="9"/>
      <c r="E32" s="4"/>
      <c r="F32" s="2"/>
      <c r="G32" s="2" t="n">
        <f aca="false">E32-D32</f>
        <v>0</v>
      </c>
      <c r="H32" s="2" t="e">
        <f aca="false">C32*(G32/F32)</f>
        <v>#DIV/0!</v>
      </c>
    </row>
    <row r="33" customFormat="false" ht="14.25" hidden="false" customHeight="false" outlineLevel="0" collapsed="false">
      <c r="A33" s="2" t="n">
        <v>575</v>
      </c>
      <c r="B33" s="7" t="n">
        <v>40</v>
      </c>
      <c r="C33" s="9" t="n">
        <v>12920.782</v>
      </c>
      <c r="D33" s="9"/>
      <c r="E33" s="4"/>
      <c r="F33" s="2"/>
      <c r="G33" s="2" t="n">
        <f aca="false">E33-D33</f>
        <v>0</v>
      </c>
      <c r="H33" s="2" t="e">
        <f aca="false">C33*(G33/F33)</f>
        <v>#DIV/0!</v>
      </c>
    </row>
    <row r="34" customFormat="false" ht="14.25" hidden="false" customHeight="false" outlineLevel="0" collapsed="false">
      <c r="A34" s="2" t="n">
        <v>650</v>
      </c>
      <c r="B34" s="7" t="n">
        <v>40</v>
      </c>
      <c r="C34" s="9" t="n">
        <v>16528.704</v>
      </c>
      <c r="D34" s="9"/>
      <c r="E34" s="4"/>
      <c r="F34" s="2"/>
      <c r="G34" s="2" t="n">
        <f aca="false">E34-D34</f>
        <v>0</v>
      </c>
      <c r="H34" s="2" t="e">
        <f aca="false">C34*(G34/F34)</f>
        <v>#DIV/0!</v>
      </c>
    </row>
    <row r="35" customFormat="false" ht="14.25" hidden="false" customHeight="false" outlineLevel="0" collapsed="false">
      <c r="A35" s="2" t="n">
        <v>800</v>
      </c>
      <c r="B35" s="7" t="n">
        <v>40</v>
      </c>
      <c r="C35" s="9" t="n">
        <v>25069.909</v>
      </c>
      <c r="D35" s="9"/>
      <c r="E35" s="4"/>
      <c r="F35" s="2"/>
      <c r="G35" s="2" t="n">
        <f aca="false">E35-D35</f>
        <v>0</v>
      </c>
      <c r="H35" s="2" t="e">
        <f aca="false">C35*(G35/F35)</f>
        <v>#DIV/0!</v>
      </c>
    </row>
    <row r="36" customFormat="false" ht="14.25" hidden="false" customHeight="false" outlineLevel="0" collapsed="false">
      <c r="A36" s="2" t="n">
        <v>1000</v>
      </c>
      <c r="B36" s="7" t="n">
        <v>40</v>
      </c>
      <c r="C36" s="9" t="n">
        <v>39207.076</v>
      </c>
      <c r="D36" s="9"/>
      <c r="E36" s="4"/>
      <c r="F36" s="2"/>
      <c r="G36" s="2" t="n">
        <f aca="false">E36-D36</f>
        <v>0</v>
      </c>
      <c r="H36" s="2" t="e">
        <f aca="false">C36*(G36/F36)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537E8AF268046AB144A1CF734B11A" ma:contentTypeVersion="9" ma:contentTypeDescription="Create a new document." ma:contentTypeScope="" ma:versionID="010a5a4eaa65e374c7c5f8d228a987fa">
  <xsd:schema xmlns:xsd="http://www.w3.org/2001/XMLSchema" xmlns:xs="http://www.w3.org/2001/XMLSchema" xmlns:p="http://schemas.microsoft.com/office/2006/metadata/properties" xmlns:ns3="4beb3249-849e-4efd-94c7-0030ad186279" xmlns:ns4="de8b2aec-c4f3-48d3-9509-16f0c90deccf" targetNamespace="http://schemas.microsoft.com/office/2006/metadata/properties" ma:root="true" ma:fieldsID="e0551ad627d4c3e096cacac2498a5f3c" ns3:_="" ns4:_="">
    <xsd:import namespace="4beb3249-849e-4efd-94c7-0030ad186279"/>
    <xsd:import namespace="de8b2aec-c4f3-48d3-9509-16f0c90dec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b3249-849e-4efd-94c7-0030ad186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b2aec-c4f3-48d3-9509-16f0c90dec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65600E-01D8-4A2C-8425-A124F04AF7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DECAA2-FFBF-47F7-80BC-E5EB94F1A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eb3249-849e-4efd-94c7-0030ad186279"/>
    <ds:schemaRef ds:uri="de8b2aec-c4f3-48d3-9509-16f0c90de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90F24B-3447-4D8D-802B-8A8CD803F573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4beb3249-849e-4efd-94c7-0030ad186279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e8b2aec-c4f3-48d3-9509-16f0c90dec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2022-07-04T03:23:07Z</dcterms:created>
  <dc:creator>Rodrigo Flores</dc:creator>
  <dc:description/>
  <dc:language>es-MX</dc:language>
  <cp:lastModifiedBy/>
  <cp:lastPrinted>2024-07-25T23:57:59Z</cp:lastPrinted>
  <dcterms:modified xsi:type="dcterms:W3CDTF">2025-02-12T20:08:14Z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0x010100D5D537E8AF268046AB144A1CF734B11A</vt:lpwstr>
  </property>
</Properties>
</file>